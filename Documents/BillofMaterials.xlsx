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<sst xmlns="http://schemas.openxmlformats.org/spreadsheetml/2006/main" count="45" uniqueCount="32">
  <si>
    <t>Date Ordered</t>
  </si>
  <si>
    <t xml:space="preserve">Part Name </t>
  </si>
  <si>
    <t>Part Number</t>
  </si>
  <si>
    <t>Supplier</t>
  </si>
  <si>
    <t xml:space="preserve">Unit Cost </t>
  </si>
  <si>
    <t>Quanity</t>
  </si>
  <si>
    <t xml:space="preserve">Total Cost </t>
  </si>
  <si>
    <t>Notes</t>
  </si>
  <si>
    <t>Link</t>
  </si>
  <si>
    <t>NUCLEO-L152RE</t>
  </si>
  <si>
    <t>N/A</t>
  </si>
  <si>
    <t>STMicroelectronics</t>
  </si>
  <si>
    <r>
      <rPr>
        <color rgb="FF1155CC"/>
        <u/>
      </rPr>
      <t>https://estore.st.com/en/nucleo-l152re-cpn.html</t>
    </r>
    <r>
      <rPr/>
      <t xml:space="preserve"> </t>
    </r>
  </si>
  <si>
    <t>Analog Output K-Type Thermocouple Amplifier</t>
  </si>
  <si>
    <t>AdaFruit</t>
  </si>
  <si>
    <t>https://www.adafruit.com/product/1778?gad_source=1&amp;gad_campaignid=21079227318&amp;gbraid=0AAAAADx9JvQxaA1b3k46GsG8O7zKMgZHA&amp;gclid=CjwKCAjw6s7CBhACEiwAuHQckjfA1dMHI4yexuFztrsMmkaVUYqP9U-d4ZdFC0hrbngwFuHYyFY15BoC6gYQAvD_BwE</t>
  </si>
  <si>
    <t>Type-K Thermocouple</t>
  </si>
  <si>
    <t>AdFruit</t>
  </si>
  <si>
    <t>https://www.adafruit.com/product/3245</t>
  </si>
  <si>
    <t>I2C RGB Backlight LCD 16x2 Display</t>
  </si>
  <si>
    <t>DFR0374</t>
  </si>
  <si>
    <t>DFRobot</t>
  </si>
  <si>
    <t>https://www.dfrobot.com/product-1363.html</t>
  </si>
  <si>
    <t>Tilt Switch</t>
  </si>
  <si>
    <t>DSBA1P</t>
  </si>
  <si>
    <t>DigiKey</t>
  </si>
  <si>
    <t>https://www.digikey.com/en/products/detail/nkk-switches/DSBA1P/1014883?_gl=1*17vaw6z*_up*MQ..&amp;gclid=CjwKCAjw38SoBhB6EiwA8EQVLiAfzkVSYCcB-M4bfcVTO9-K-NMSvVNaZdJMpqx1nmwBO0jtVaTfHBoCNUIQAvD_BwE</t>
  </si>
  <si>
    <t>120Ω THT Resistor</t>
  </si>
  <si>
    <t>-</t>
  </si>
  <si>
    <t>Used as R1 for the Tilt Switch</t>
  </si>
  <si>
    <t>68kΩ THT Resistor</t>
  </si>
  <si>
    <t>Used as R2 for the Tilt Switch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</si>
</sst>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&quot;$&quot;#,##0.00"/>
    <numFmt numFmtId="166" formatCode="m/d/yy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2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readingOrder="0"/>
    </xf>
    <xf borderId="4" fillId="0" fontId="2" numFmtId="164" xfId="0" applyAlignment="1" applyBorder="1" applyFont="1" applyNumberFormat="1">
      <alignment horizontal="lef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/>
    </xf>
    <xf borderId="5" fillId="0" fontId="3" numFmtId="0" xfId="0" applyAlignment="1" applyBorder="1" applyFont="1">
      <alignment readingOrder="0" shrinkToFit="0" wrapText="0"/>
    </xf>
    <xf borderId="4" fillId="0" fontId="2" numFmtId="166" xfId="0" applyAlignment="1" applyBorder="1" applyFont="1" applyNumberFormat="1">
      <alignment horizontal="left" readingOrder="0"/>
    </xf>
    <xf borderId="5" fillId="0" fontId="4" numFmtId="0" xfId="0" applyAlignment="1" applyBorder="1" applyFont="1">
      <alignment readingOrder="0" shrinkToFit="0" wrapText="0"/>
    </xf>
    <xf borderId="4" fillId="0" fontId="2" numFmtId="0" xfId="0" applyAlignment="1" applyBorder="1" applyFont="1">
      <alignment horizontal="left" readingOrder="0"/>
    </xf>
    <xf borderId="5" fillId="0" fontId="2" numFmtId="0" xfId="0" applyAlignment="1" applyBorder="1" applyFont="1">
      <alignment readingOrder="0"/>
    </xf>
    <xf borderId="6" fillId="0" fontId="2" numFmtId="0" xfId="0" applyAlignment="1" applyBorder="1" applyFont="1">
      <alignment horizontal="left" readingOrder="0"/>
    </xf>
    <xf borderId="7" fillId="0" fontId="2" numFmtId="0" xfId="0" applyAlignment="1" applyBorder="1" applyFont="1">
      <alignment readingOrder="0"/>
    </xf>
    <xf borderId="7" fillId="0" fontId="2" numFmtId="0" xfId="0" applyAlignment="1" applyBorder="1" applyFont="1">
      <alignment horizontal="center" readingOrder="0"/>
    </xf>
    <xf borderId="7" fillId="0" fontId="2" numFmtId="165" xfId="0" applyAlignment="1" applyBorder="1" applyFont="1" applyNumberFormat="1">
      <alignment horizontal="center" readingOrder="0"/>
    </xf>
    <xf borderId="8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store.st.com/en/nucleo-l152re-cpn.html" TargetMode="External"/><Relationship Id="rId2" Type="http://schemas.openxmlformats.org/officeDocument/2006/relationships/hyperlink" Target="https://www.adafruit.com/product/1778?gad_source=1&amp;gad_campaignid=21079227318&amp;gbraid=0AAAAADx9JvQxaA1b3k46GsG8O7zKMgZHA&amp;gclid=CjwKCAjw6s7CBhACEiwAuHQckjfA1dMHI4yexuFztrsMmkaVUYqP9U-d4ZdFC0hrbngwFuHYyFY15BoC6gYQAvD_BwE" TargetMode="External"/><Relationship Id="rId3" Type="http://schemas.openxmlformats.org/officeDocument/2006/relationships/hyperlink" Target="https://www.adafruit.com/product/3245" TargetMode="External"/><Relationship Id="rId4" Type="http://schemas.openxmlformats.org/officeDocument/2006/relationships/hyperlink" Target="https://www.dfrobot.com/product-1363.html" TargetMode="External"/><Relationship Id="rId5" Type="http://schemas.openxmlformats.org/officeDocument/2006/relationships/hyperlink" Target="https://www.digikey.com/en/products/detail/nkk-switches/DSBA1P/1014883?_gl=1*17vaw6z*_up*MQ..&amp;gclid=CjwKCAjw38SoBhB6EiwA8EQVLiAfzkVSYCcB-M4bfcVTO9-K-NMSvVNaZdJMpqx1nmwBO0jtVaTfHBoCNUIQAvD_BwE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5"/>
    <col customWidth="1" min="3" max="3" width="24.38"/>
    <col customWidth="1" min="4" max="4" width="25.63"/>
    <col customWidth="1" min="8" max="8" width="49.38"/>
    <col customWidth="1" min="9" max="9" width="37.0"/>
  </cols>
  <sheetData>
    <row r="2">
      <c r="A2" s="1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2" t="s">
        <v>7</v>
      </c>
      <c r="I2" s="4" t="s">
        <v>8</v>
      </c>
    </row>
    <row r="3">
      <c r="A3" s="5">
        <v>45809.0</v>
      </c>
      <c r="B3" s="6" t="s">
        <v>9</v>
      </c>
      <c r="C3" s="7" t="s">
        <v>10</v>
      </c>
      <c r="D3" s="7" t="s">
        <v>11</v>
      </c>
      <c r="E3" s="8">
        <v>13.51</v>
      </c>
      <c r="F3" s="7">
        <v>1.0</v>
      </c>
      <c r="G3" s="9">
        <f t="shared" ref="G3:G7" si="1"> $E3*$F3</f>
        <v>13.51</v>
      </c>
      <c r="I3" s="10" t="s">
        <v>12</v>
      </c>
    </row>
    <row r="4">
      <c r="A4" s="11">
        <v>45827.0</v>
      </c>
      <c r="B4" s="6" t="s">
        <v>13</v>
      </c>
      <c r="C4" s="7">
        <v>1778.0</v>
      </c>
      <c r="D4" s="7" t="s">
        <v>14</v>
      </c>
      <c r="E4" s="8">
        <v>11.95</v>
      </c>
      <c r="F4" s="7">
        <v>1.0</v>
      </c>
      <c r="G4" s="9">
        <f t="shared" si="1"/>
        <v>11.95</v>
      </c>
      <c r="I4" s="10" t="s">
        <v>15</v>
      </c>
    </row>
    <row r="5">
      <c r="A5" s="11">
        <v>45827.0</v>
      </c>
      <c r="B5" s="6" t="s">
        <v>16</v>
      </c>
      <c r="C5" s="7">
        <v>3245.0</v>
      </c>
      <c r="D5" s="7" t="s">
        <v>17</v>
      </c>
      <c r="E5" s="8">
        <v>9.95</v>
      </c>
      <c r="F5" s="7">
        <v>1.0</v>
      </c>
      <c r="G5" s="9">
        <f t="shared" si="1"/>
        <v>9.95</v>
      </c>
      <c r="I5" s="12" t="s">
        <v>18</v>
      </c>
    </row>
    <row r="6">
      <c r="A6" s="11">
        <v>45841.0</v>
      </c>
      <c r="B6" s="6" t="s">
        <v>19</v>
      </c>
      <c r="C6" s="7" t="s">
        <v>20</v>
      </c>
      <c r="D6" s="7" t="s">
        <v>21</v>
      </c>
      <c r="E6" s="8">
        <v>12.9</v>
      </c>
      <c r="F6" s="7">
        <v>1.0</v>
      </c>
      <c r="G6" s="9">
        <f t="shared" si="1"/>
        <v>12.9</v>
      </c>
      <c r="I6" s="12" t="s">
        <v>22</v>
      </c>
    </row>
    <row r="7">
      <c r="A7" s="11">
        <v>45884.0</v>
      </c>
      <c r="B7" s="6" t="s">
        <v>23</v>
      </c>
      <c r="C7" s="7" t="s">
        <v>24</v>
      </c>
      <c r="D7" s="7" t="s">
        <v>25</v>
      </c>
      <c r="E7" s="8">
        <v>10.21</v>
      </c>
      <c r="F7" s="7">
        <v>1.0</v>
      </c>
      <c r="G7" s="9">
        <f t="shared" si="1"/>
        <v>10.21</v>
      </c>
      <c r="I7" s="10" t="s">
        <v>26</v>
      </c>
    </row>
    <row r="8">
      <c r="A8" s="13" t="s">
        <v>10</v>
      </c>
      <c r="B8" s="6" t="s">
        <v>27</v>
      </c>
      <c r="C8" s="7" t="s">
        <v>10</v>
      </c>
      <c r="D8" s="7" t="s">
        <v>10</v>
      </c>
      <c r="E8" s="8" t="s">
        <v>28</v>
      </c>
      <c r="F8" s="7" t="s">
        <v>28</v>
      </c>
      <c r="G8" s="8" t="s">
        <v>28</v>
      </c>
      <c r="H8" s="6" t="s">
        <v>29</v>
      </c>
      <c r="I8" s="14" t="s">
        <v>10</v>
      </c>
    </row>
    <row r="9">
      <c r="A9" s="15" t="s">
        <v>10</v>
      </c>
      <c r="B9" s="16" t="s">
        <v>30</v>
      </c>
      <c r="C9" s="17" t="s">
        <v>10</v>
      </c>
      <c r="D9" s="17" t="s">
        <v>10</v>
      </c>
      <c r="E9" s="18" t="s">
        <v>28</v>
      </c>
      <c r="F9" s="17" t="s">
        <v>28</v>
      </c>
      <c r="G9" s="18" t="s">
        <v>28</v>
      </c>
      <c r="H9" s="16" t="s">
        <v>31</v>
      </c>
      <c r="I9" s="19" t="s">
        <v>10</v>
      </c>
    </row>
  </sheetData>
  <hyperlinks>
    <hyperlink r:id="rId1" ref="I3"/>
    <hyperlink r:id="rId2" ref="I4"/>
    <hyperlink r:id="rId3" ref="I5"/>
    <hyperlink r:id="rId4" ref="I6"/>
    <hyperlink r:id="rId5" ref="I7"/>
  </hyperlinks>
  <drawing r:id="rId6"/>
</worksheet>
</file>